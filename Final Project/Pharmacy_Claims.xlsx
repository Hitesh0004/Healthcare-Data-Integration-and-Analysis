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Final Project/"/>
    </mc:Choice>
  </mc:AlternateContent>
  <xr:revisionPtr revIDLastSave="15" documentId="8_{82777EAC-05F3-48B9-B3DC-1618F69C16DA}" xr6:coauthVersionLast="47" xr6:coauthVersionMax="47" xr10:uidLastSave="{233616B5-0152-4D51-BB9A-30493B4B6D87}"/>
  <bookViews>
    <workbookView xWindow="-110" yWindow="-110" windowWidth="22780" windowHeight="14540" xr2:uid="{A220C358-E595-4D08-93BF-02C716BA8A18}"/>
  </bookViews>
  <sheets>
    <sheet name="Pharmacy_Claims" sheetId="2" r:id="rId1"/>
  </sheets>
  <definedNames>
    <definedName name="ExternalData_1" localSheetId="0" hidden="1">Pharmacy_Claims!$A$1:$I$101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2" l="1"/>
  <c r="K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B422E1-41C5-4B86-AD94-856380E6DD1F}" keepAlive="1" name="Query - Pharmacy_Claims" description="Connection to the 'Pharmacy_Claims' query in the workbook." type="5" refreshedVersion="8" background="1" saveData="1">
    <dbPr connection="Provider=Microsoft.Mashup.OleDb.1;Data Source=$Workbook$;Location=Pharmacy_Claims;Extended Properties=&quot;&quot;" command="SELECT * FROM [Pharmacy_Claims]"/>
  </connection>
</connections>
</file>

<file path=xl/sharedStrings.xml><?xml version="1.0" encoding="utf-8"?>
<sst xmlns="http://schemas.openxmlformats.org/spreadsheetml/2006/main" count="611" uniqueCount="188">
  <si>
    <t>ClaimID</t>
  </si>
  <si>
    <t>PatientID</t>
  </si>
  <si>
    <t>Medication</t>
  </si>
  <si>
    <t>Dosage</t>
  </si>
  <si>
    <t>FillDate</t>
  </si>
  <si>
    <t>Payer</t>
  </si>
  <si>
    <t>ClinicID</t>
  </si>
  <si>
    <t>ChargeAmount</t>
  </si>
  <si>
    <t>PaidAmount</t>
  </si>
  <si>
    <t>RX9000</t>
  </si>
  <si>
    <t>NV094</t>
  </si>
  <si>
    <t>Amlodipine</t>
  </si>
  <si>
    <t>20mg</t>
  </si>
  <si>
    <t>Medicare</t>
  </si>
  <si>
    <t>C01</t>
  </si>
  <si>
    <t>RX9001</t>
  </si>
  <si>
    <t>NV027</t>
  </si>
  <si>
    <t>5mg</t>
  </si>
  <si>
    <t>Medicaid</t>
  </si>
  <si>
    <t>C02</t>
  </si>
  <si>
    <t>RX9002</t>
  </si>
  <si>
    <t>NV005</t>
  </si>
  <si>
    <t>10mg</t>
  </si>
  <si>
    <t>C05</t>
  </si>
  <si>
    <t>RX9003</t>
  </si>
  <si>
    <t>NV031</t>
  </si>
  <si>
    <t>500mg</t>
  </si>
  <si>
    <t>Private</t>
  </si>
  <si>
    <t>RX9004</t>
  </si>
  <si>
    <t>NV008</t>
  </si>
  <si>
    <t>Lisinopril</t>
  </si>
  <si>
    <t>?</t>
  </si>
  <si>
    <t>RX9005</t>
  </si>
  <si>
    <t>C03</t>
  </si>
  <si>
    <t>RX9006</t>
  </si>
  <si>
    <t>RX9007</t>
  </si>
  <si>
    <t>NV046</t>
  </si>
  <si>
    <t>RX9008</t>
  </si>
  <si>
    <t>NV089</t>
  </si>
  <si>
    <t>RX9009</t>
  </si>
  <si>
    <t>NV072</t>
  </si>
  <si>
    <t>C04</t>
  </si>
  <si>
    <t>RX9010</t>
  </si>
  <si>
    <t>NV017</t>
  </si>
  <si>
    <t>RX9011</t>
  </si>
  <si>
    <t>NV012</t>
  </si>
  <si>
    <t>Metformin</t>
  </si>
  <si>
    <t>RX9012</t>
  </si>
  <si>
    <t>RX9013</t>
  </si>
  <si>
    <t>Atorvastatin</t>
  </si>
  <si>
    <t>RX9014</t>
  </si>
  <si>
    <t>RX9015</t>
  </si>
  <si>
    <t>NV010</t>
  </si>
  <si>
    <t>RX9016</t>
  </si>
  <si>
    <t>NV076</t>
  </si>
  <si>
    <t>RX9017</t>
  </si>
  <si>
    <t>NV043</t>
  </si>
  <si>
    <t>RX9018</t>
  </si>
  <si>
    <t>NV036</t>
  </si>
  <si>
    <t>RX9019</t>
  </si>
  <si>
    <t>NV063</t>
  </si>
  <si>
    <t>RX9020</t>
  </si>
  <si>
    <t>NV080</t>
  </si>
  <si>
    <t>RX9021</t>
  </si>
  <si>
    <t>NV048</t>
  </si>
  <si>
    <t>RX9022</t>
  </si>
  <si>
    <t>NV039</t>
  </si>
  <si>
    <t>RX9023</t>
  </si>
  <si>
    <t>NV061</t>
  </si>
  <si>
    <t>RX9024</t>
  </si>
  <si>
    <t>NV001</t>
  </si>
  <si>
    <t>RX9025</t>
  </si>
  <si>
    <t>RX9026</t>
  </si>
  <si>
    <t>NV071</t>
  </si>
  <si>
    <t>RX9027</t>
  </si>
  <si>
    <t>NV098</t>
  </si>
  <si>
    <t>RX9028</t>
  </si>
  <si>
    <t>NV058</t>
  </si>
  <si>
    <t>RX9029</t>
  </si>
  <si>
    <t>NV077</t>
  </si>
  <si>
    <t>RX9030</t>
  </si>
  <si>
    <t>NV084</t>
  </si>
  <si>
    <t>RX9031</t>
  </si>
  <si>
    <t>NV025</t>
  </si>
  <si>
    <t>RX9032</t>
  </si>
  <si>
    <t>RX9033</t>
  </si>
  <si>
    <t>NV099</t>
  </si>
  <si>
    <t>RX9034</t>
  </si>
  <si>
    <t>NV085</t>
  </si>
  <si>
    <t>RX9035</t>
  </si>
  <si>
    <t>RX9036</t>
  </si>
  <si>
    <t>NV091</t>
  </si>
  <si>
    <t>RX9037</t>
  </si>
  <si>
    <t>NV009</t>
  </si>
  <si>
    <t>RX9038</t>
  </si>
  <si>
    <t>NV054</t>
  </si>
  <si>
    <t>RX9039</t>
  </si>
  <si>
    <t>RX9040</t>
  </si>
  <si>
    <t>NV023</t>
  </si>
  <si>
    <t>RX9041</t>
  </si>
  <si>
    <t>NV090</t>
  </si>
  <si>
    <t>RX9042</t>
  </si>
  <si>
    <t>NV021</t>
  </si>
  <si>
    <t>RX9043</t>
  </si>
  <si>
    <t>NV024</t>
  </si>
  <si>
    <t>RX9044</t>
  </si>
  <si>
    <t>NV081</t>
  </si>
  <si>
    <t>RX9045</t>
  </si>
  <si>
    <t>NV053</t>
  </si>
  <si>
    <t>RX9046</t>
  </si>
  <si>
    <t>NV047</t>
  </si>
  <si>
    <t>RX9047</t>
  </si>
  <si>
    <t>NV052</t>
  </si>
  <si>
    <t>RX9048</t>
  </si>
  <si>
    <t>RX9049</t>
  </si>
  <si>
    <t>RX9050</t>
  </si>
  <si>
    <t>RX9051</t>
  </si>
  <si>
    <t>NV086</t>
  </si>
  <si>
    <t>RX9052</t>
  </si>
  <si>
    <t>RX9053</t>
  </si>
  <si>
    <t>NV073</t>
  </si>
  <si>
    <t>RX9054</t>
  </si>
  <si>
    <t>NV075</t>
  </si>
  <si>
    <t>RX9055</t>
  </si>
  <si>
    <t>NV038</t>
  </si>
  <si>
    <t>RX9056</t>
  </si>
  <si>
    <t>NV049</t>
  </si>
  <si>
    <t>RX9057</t>
  </si>
  <si>
    <t>RX9058</t>
  </si>
  <si>
    <t>RX9059</t>
  </si>
  <si>
    <t>RX9060</t>
  </si>
  <si>
    <t>RX9061</t>
  </si>
  <si>
    <t>NV015</t>
  </si>
  <si>
    <t>RX9062</t>
  </si>
  <si>
    <t>NV007</t>
  </si>
  <si>
    <t>RX9063</t>
  </si>
  <si>
    <t>NV014</t>
  </si>
  <si>
    <t>RX9064</t>
  </si>
  <si>
    <t>NV096</t>
  </si>
  <si>
    <t>RX9065</t>
  </si>
  <si>
    <t>RX9066</t>
  </si>
  <si>
    <t>RX9067</t>
  </si>
  <si>
    <t>RX9068</t>
  </si>
  <si>
    <t>RX9069</t>
  </si>
  <si>
    <t>NV093</t>
  </si>
  <si>
    <t>RX9070</t>
  </si>
  <si>
    <t>NV019</t>
  </si>
  <si>
    <t>RX9071</t>
  </si>
  <si>
    <t>NV062</t>
  </si>
  <si>
    <t>RX9072</t>
  </si>
  <si>
    <t>RX9073</t>
  </si>
  <si>
    <t>RX9074</t>
  </si>
  <si>
    <t>NV006</t>
  </si>
  <si>
    <t>RX9075</t>
  </si>
  <si>
    <t>RX9076</t>
  </si>
  <si>
    <t>NV035</t>
  </si>
  <si>
    <t>RX9077</t>
  </si>
  <si>
    <t>NV013</t>
  </si>
  <si>
    <t>RX9078</t>
  </si>
  <si>
    <t>RX9079</t>
  </si>
  <si>
    <t>NV029</t>
  </si>
  <si>
    <t>RX9080</t>
  </si>
  <si>
    <t>NV079</t>
  </si>
  <si>
    <t>RX9081</t>
  </si>
  <si>
    <t>NV088</t>
  </si>
  <si>
    <t>RX9082</t>
  </si>
  <si>
    <t>RX9083</t>
  </si>
  <si>
    <t>RX9084</t>
  </si>
  <si>
    <t>RX9085</t>
  </si>
  <si>
    <t>RX9086</t>
  </si>
  <si>
    <t>RX9087</t>
  </si>
  <si>
    <t>NV059</t>
  </si>
  <si>
    <t>RX9088</t>
  </si>
  <si>
    <t>RX9089</t>
  </si>
  <si>
    <t>RX9090</t>
  </si>
  <si>
    <t>RX9091</t>
  </si>
  <si>
    <t>RX9092</t>
  </si>
  <si>
    <t>RX9093</t>
  </si>
  <si>
    <t>RX9094</t>
  </si>
  <si>
    <t>RX9095</t>
  </si>
  <si>
    <t>NV065</t>
  </si>
  <si>
    <t>RX9096</t>
  </si>
  <si>
    <t>RX9097</t>
  </si>
  <si>
    <t>RX9098</t>
  </si>
  <si>
    <t>RX9099</t>
  </si>
  <si>
    <t>NV004</t>
  </si>
  <si>
    <t>Number of paid amounts exceed $250</t>
  </si>
  <si>
    <t>Total Amount Paid by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</si>
</sst>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439FBF-77C1-4553-BAE0-5309791CD29A}" autoFormatId="16" applyNumberFormats="0" applyBorderFormats="0" applyFontFormats="0" applyPatternFormats="0" applyAlignmentFormats="0" applyWidthHeightFormats="0">
  <queryTableRefresh nextId="10">
    <queryTableFields count="9">
      <queryTableField id="1" name="ClaimID" tableColumnId="1"/>
      <queryTableField id="2" name="PatientID" tableColumnId="2"/>
      <queryTableField id="3" name="Medication" tableColumnId="3"/>
      <queryTableField id="4" name="Dosage" tableColumnId="4"/>
      <queryTableField id="5" name="FillDate" tableColumnId="5"/>
      <queryTableField id="6" name="Payer" tableColumnId="6"/>
      <queryTableField id="7" name="ClinicID" tableColumnId="7"/>
      <queryTableField id="8" name="ChargeAmount" tableColumnId="8"/>
      <queryTableField id="9" name="Paid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B92AD-AB6B-4F3B-B059-4F855A9E6F13}" name="Pharmacy_Claims" displayName="Pharmacy_Claims" ref="A1:I101" tableType="queryTable" totalsRowShown="0">
  <autoFilter ref="A1:I101" xr:uid="{3E7B92AD-AB6B-4F3B-B059-4F855A9E6F13}"/>
  <tableColumns count="9">
    <tableColumn id="1" xr3:uid="{BB90E774-B3C2-413F-9E73-124CD7997523}" uniqueName="1" name="ClaimID" queryTableFieldId="1" dataDxfId="6"/>
    <tableColumn id="2" xr3:uid="{C693FA3C-58E4-428E-A03E-945CCECFA490}" uniqueName="2" name="PatientID" queryTableFieldId="2" dataDxfId="5"/>
    <tableColumn id="3" xr3:uid="{D90569E8-BF2C-41AE-BDBD-11DDF98F5615}" uniqueName="3" name="Medication" queryTableFieldId="3" dataDxfId="4"/>
    <tableColumn id="4" xr3:uid="{BB5191AD-DF9D-41C9-9C5A-0DC59B8F6AEB}" uniqueName="4" name="Dosage" queryTableFieldId="4" dataDxfId="3"/>
    <tableColumn id="5" xr3:uid="{26B40169-01FE-4060-8228-E79020723695}" uniqueName="5" name="FillDate" queryTableFieldId="5" dataDxfId="2"/>
    <tableColumn id="6" xr3:uid="{BD76CBD9-4FE0-451B-A6C4-E3699F5FB602}" uniqueName="6" name="Payer" queryTableFieldId="6" dataDxfId="1"/>
    <tableColumn id="7" xr3:uid="{0E28DA12-20BE-4E2A-86A6-A8FF3BBAB383}" uniqueName="7" name="ClinicID" queryTableFieldId="7" dataDxfId="0"/>
    <tableColumn id="8" xr3:uid="{1CDE2C59-0632-47FB-B9DC-A10A52096830}" uniqueName="8" name="ChargeAmount" queryTableFieldId="8"/>
    <tableColumn id="9" xr3:uid="{66A3EC2E-1A42-4708-976C-463B639A419D}" uniqueName="9" name="PaidAmount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CEBA-458A-4E58-B227-BCB1479D53F6}">
  <dimension ref="A1:K101"/>
  <sheetViews>
    <sheetView tabSelected="1" workbookViewId="0">
      <selection activeCell="K6" sqref="K6"/>
    </sheetView>
  </sheetViews>
  <sheetFormatPr defaultRowHeight="14.5" x14ac:dyDescent="0.35"/>
  <cols>
    <col min="1" max="1" width="9.90625" bestFit="1" customWidth="1"/>
    <col min="2" max="2" width="14.81640625" customWidth="1"/>
    <col min="3" max="3" width="14.26953125" customWidth="1"/>
    <col min="4" max="4" width="12" customWidth="1"/>
    <col min="5" max="5" width="16.08984375" customWidth="1"/>
    <col min="6" max="6" width="13" customWidth="1"/>
    <col min="7" max="7" width="9.90625" bestFit="1" customWidth="1"/>
    <col min="8" max="8" width="15.6328125" bestFit="1" customWidth="1"/>
    <col min="9" max="9" width="13.36328125" bestFit="1" customWidth="1"/>
    <col min="11" max="11" width="31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 t="s">
        <v>9</v>
      </c>
      <c r="B2" t="s">
        <v>10</v>
      </c>
      <c r="C2" t="s">
        <v>11</v>
      </c>
      <c r="D2" t="s">
        <v>12</v>
      </c>
      <c r="E2" s="1">
        <v>45388</v>
      </c>
      <c r="F2" t="s">
        <v>13</v>
      </c>
      <c r="G2" t="s">
        <v>14</v>
      </c>
      <c r="H2">
        <v>159.19999999999999</v>
      </c>
      <c r="I2">
        <v>97.52</v>
      </c>
    </row>
    <row r="3" spans="1:11" x14ac:dyDescent="0.35">
      <c r="A3" t="s">
        <v>15</v>
      </c>
      <c r="B3" t="s">
        <v>16</v>
      </c>
      <c r="C3" t="s">
        <v>11</v>
      </c>
      <c r="D3" t="s">
        <v>17</v>
      </c>
      <c r="E3" s="1">
        <v>45404</v>
      </c>
      <c r="F3" t="s">
        <v>18</v>
      </c>
      <c r="G3" t="s">
        <v>19</v>
      </c>
      <c r="H3">
        <v>381.03</v>
      </c>
      <c r="I3">
        <v>325.61</v>
      </c>
      <c r="K3" t="s">
        <v>186</v>
      </c>
    </row>
    <row r="4" spans="1:11" x14ac:dyDescent="0.35">
      <c r="A4" t="s">
        <v>20</v>
      </c>
      <c r="B4" t="s">
        <v>21</v>
      </c>
      <c r="C4" t="s">
        <v>11</v>
      </c>
      <c r="D4" t="s">
        <v>22</v>
      </c>
      <c r="E4" s="1">
        <v>45313</v>
      </c>
      <c r="F4" t="s">
        <v>18</v>
      </c>
      <c r="G4" t="s">
        <v>23</v>
      </c>
      <c r="H4">
        <v>296.82</v>
      </c>
      <c r="I4">
        <v>215.41</v>
      </c>
      <c r="K4">
        <f>COUNTIF(I:I,"&gt;250")</f>
        <v>21</v>
      </c>
    </row>
    <row r="5" spans="1:11" x14ac:dyDescent="0.35">
      <c r="A5" t="s">
        <v>24</v>
      </c>
      <c r="B5" t="s">
        <v>25</v>
      </c>
      <c r="C5" t="s">
        <v>11</v>
      </c>
      <c r="D5" t="s">
        <v>26</v>
      </c>
      <c r="E5" s="1">
        <v>45524</v>
      </c>
      <c r="F5" t="s">
        <v>27</v>
      </c>
      <c r="G5" t="s">
        <v>23</v>
      </c>
      <c r="H5">
        <v>245.48</v>
      </c>
      <c r="I5">
        <v>197.23</v>
      </c>
      <c r="K5" t="s">
        <v>187</v>
      </c>
    </row>
    <row r="6" spans="1:11" x14ac:dyDescent="0.35">
      <c r="A6" t="s">
        <v>28</v>
      </c>
      <c r="B6" t="s">
        <v>29</v>
      </c>
      <c r="C6" t="s">
        <v>30</v>
      </c>
      <c r="D6" t="s">
        <v>31</v>
      </c>
      <c r="E6" s="1">
        <v>45394</v>
      </c>
      <c r="F6" t="s">
        <v>13</v>
      </c>
      <c r="G6" t="s">
        <v>19</v>
      </c>
      <c r="H6">
        <v>75.069999999999993</v>
      </c>
      <c r="I6">
        <v>72.290000000000006</v>
      </c>
      <c r="K6">
        <f>SUMIF(F:F,"Medicaid",I:I)</f>
        <v>6180.8099999999995</v>
      </c>
    </row>
    <row r="7" spans="1:11" x14ac:dyDescent="0.35">
      <c r="A7" t="s">
        <v>32</v>
      </c>
      <c r="B7" t="s">
        <v>16</v>
      </c>
      <c r="C7" t="s">
        <v>11</v>
      </c>
      <c r="D7" t="s">
        <v>12</v>
      </c>
      <c r="E7" s="1">
        <v>45355</v>
      </c>
      <c r="F7" t="s">
        <v>18</v>
      </c>
      <c r="G7" t="s">
        <v>33</v>
      </c>
      <c r="H7">
        <v>348.16</v>
      </c>
      <c r="I7">
        <v>339.67</v>
      </c>
    </row>
    <row r="8" spans="1:11" x14ac:dyDescent="0.35">
      <c r="A8" t="s">
        <v>34</v>
      </c>
      <c r="B8" t="s">
        <v>16</v>
      </c>
      <c r="C8" t="s">
        <v>30</v>
      </c>
      <c r="D8" t="s">
        <v>26</v>
      </c>
      <c r="E8" s="1">
        <v>45606</v>
      </c>
      <c r="F8" t="s">
        <v>18</v>
      </c>
      <c r="G8" t="s">
        <v>19</v>
      </c>
      <c r="H8">
        <v>370.47</v>
      </c>
      <c r="I8">
        <v>225.59</v>
      </c>
    </row>
    <row r="9" spans="1:11" x14ac:dyDescent="0.35">
      <c r="A9" t="s">
        <v>35</v>
      </c>
      <c r="B9" t="s">
        <v>36</v>
      </c>
      <c r="C9" t="s">
        <v>11</v>
      </c>
      <c r="D9" t="s">
        <v>26</v>
      </c>
      <c r="E9" s="1">
        <v>45578</v>
      </c>
      <c r="F9" t="s">
        <v>18</v>
      </c>
      <c r="G9" t="s">
        <v>19</v>
      </c>
      <c r="H9">
        <v>159.6</v>
      </c>
      <c r="I9">
        <v>147.28</v>
      </c>
    </row>
    <row r="10" spans="1:11" x14ac:dyDescent="0.35">
      <c r="A10" t="s">
        <v>37</v>
      </c>
      <c r="B10" t="s">
        <v>38</v>
      </c>
      <c r="C10" t="s">
        <v>30</v>
      </c>
      <c r="D10" t="s">
        <v>26</v>
      </c>
      <c r="E10" s="1">
        <v>45608</v>
      </c>
      <c r="F10" t="s">
        <v>13</v>
      </c>
      <c r="G10" t="s">
        <v>23</v>
      </c>
      <c r="H10">
        <v>108.76</v>
      </c>
      <c r="I10">
        <v>69.569999999999993</v>
      </c>
    </row>
    <row r="11" spans="1:11" x14ac:dyDescent="0.35">
      <c r="A11" t="s">
        <v>39</v>
      </c>
      <c r="B11" t="s">
        <v>40</v>
      </c>
      <c r="C11" t="s">
        <v>11</v>
      </c>
      <c r="D11" t="s">
        <v>22</v>
      </c>
      <c r="E11" s="1">
        <v>45559</v>
      </c>
      <c r="F11" t="s">
        <v>27</v>
      </c>
      <c r="G11" t="s">
        <v>41</v>
      </c>
      <c r="H11">
        <v>180.2</v>
      </c>
      <c r="I11">
        <v>137.94</v>
      </c>
    </row>
    <row r="12" spans="1:11" x14ac:dyDescent="0.35">
      <c r="A12" t="s">
        <v>42</v>
      </c>
      <c r="B12" t="s">
        <v>43</v>
      </c>
      <c r="C12" t="s">
        <v>30</v>
      </c>
      <c r="D12" t="s">
        <v>31</v>
      </c>
      <c r="E12" s="1">
        <v>45468</v>
      </c>
      <c r="F12" t="s">
        <v>13</v>
      </c>
      <c r="G12" t="s">
        <v>14</v>
      </c>
      <c r="H12">
        <v>235.21</v>
      </c>
      <c r="I12">
        <v>173.27</v>
      </c>
    </row>
    <row r="13" spans="1:11" x14ac:dyDescent="0.35">
      <c r="A13" t="s">
        <v>44</v>
      </c>
      <c r="B13" t="s">
        <v>45</v>
      </c>
      <c r="C13" t="s">
        <v>46</v>
      </c>
      <c r="D13" t="s">
        <v>12</v>
      </c>
      <c r="E13" s="1">
        <v>45454</v>
      </c>
      <c r="F13" t="s">
        <v>18</v>
      </c>
      <c r="G13" t="s">
        <v>33</v>
      </c>
      <c r="H13">
        <v>338.45</v>
      </c>
      <c r="I13">
        <v>282.68</v>
      </c>
    </row>
    <row r="14" spans="1:11" x14ac:dyDescent="0.35">
      <c r="A14" t="s">
        <v>47</v>
      </c>
      <c r="B14" t="s">
        <v>45</v>
      </c>
      <c r="C14" t="s">
        <v>30</v>
      </c>
      <c r="D14" t="s">
        <v>12</v>
      </c>
      <c r="E14" s="1">
        <v>45406</v>
      </c>
      <c r="F14" t="s">
        <v>18</v>
      </c>
      <c r="G14" t="s">
        <v>23</v>
      </c>
      <c r="H14">
        <v>214.54</v>
      </c>
      <c r="I14">
        <v>196.22</v>
      </c>
    </row>
    <row r="15" spans="1:11" x14ac:dyDescent="0.35">
      <c r="A15" t="s">
        <v>48</v>
      </c>
      <c r="B15" t="s">
        <v>40</v>
      </c>
      <c r="C15" t="s">
        <v>49</v>
      </c>
      <c r="D15" t="s">
        <v>17</v>
      </c>
      <c r="E15" s="1">
        <v>45543</v>
      </c>
      <c r="F15" t="s">
        <v>27</v>
      </c>
      <c r="G15" t="s">
        <v>41</v>
      </c>
      <c r="H15">
        <v>369.34</v>
      </c>
      <c r="I15">
        <v>228.09</v>
      </c>
    </row>
    <row r="16" spans="1:11" x14ac:dyDescent="0.35">
      <c r="A16" t="s">
        <v>50</v>
      </c>
      <c r="B16" t="s">
        <v>40</v>
      </c>
      <c r="C16" t="s">
        <v>11</v>
      </c>
      <c r="D16" t="s">
        <v>12</v>
      </c>
      <c r="E16" s="1">
        <v>45448</v>
      </c>
      <c r="F16" t="s">
        <v>27</v>
      </c>
      <c r="G16" t="s">
        <v>23</v>
      </c>
      <c r="H16">
        <v>338.52</v>
      </c>
      <c r="I16">
        <v>284.14999999999998</v>
      </c>
    </row>
    <row r="17" spans="1:9" x14ac:dyDescent="0.35">
      <c r="A17" t="s">
        <v>51</v>
      </c>
      <c r="B17" t="s">
        <v>52</v>
      </c>
      <c r="C17" t="s">
        <v>46</v>
      </c>
      <c r="D17" t="s">
        <v>17</v>
      </c>
      <c r="E17" s="1">
        <v>45430</v>
      </c>
      <c r="F17" t="s">
        <v>13</v>
      </c>
      <c r="G17" t="s">
        <v>33</v>
      </c>
      <c r="H17">
        <v>329.83</v>
      </c>
      <c r="I17">
        <v>303.44</v>
      </c>
    </row>
    <row r="18" spans="1:9" x14ac:dyDescent="0.35">
      <c r="A18" t="s">
        <v>53</v>
      </c>
      <c r="B18" t="s">
        <v>54</v>
      </c>
      <c r="C18" t="s">
        <v>11</v>
      </c>
      <c r="D18" t="s">
        <v>12</v>
      </c>
      <c r="E18" s="1">
        <v>45331</v>
      </c>
      <c r="F18" t="s">
        <v>27</v>
      </c>
      <c r="G18" t="s">
        <v>19</v>
      </c>
      <c r="H18">
        <v>298.54000000000002</v>
      </c>
      <c r="I18">
        <v>233.91</v>
      </c>
    </row>
    <row r="19" spans="1:9" x14ac:dyDescent="0.35">
      <c r="A19" t="s">
        <v>55</v>
      </c>
      <c r="B19" t="s">
        <v>56</v>
      </c>
      <c r="C19" t="s">
        <v>46</v>
      </c>
      <c r="D19" t="s">
        <v>22</v>
      </c>
      <c r="E19" s="1">
        <v>45393</v>
      </c>
      <c r="F19" t="s">
        <v>27</v>
      </c>
      <c r="G19" t="s">
        <v>19</v>
      </c>
      <c r="H19">
        <v>201.2</v>
      </c>
      <c r="I19">
        <v>126.33</v>
      </c>
    </row>
    <row r="20" spans="1:9" x14ac:dyDescent="0.35">
      <c r="A20" t="s">
        <v>57</v>
      </c>
      <c r="B20" t="s">
        <v>58</v>
      </c>
      <c r="C20" t="s">
        <v>46</v>
      </c>
      <c r="D20" t="s">
        <v>26</v>
      </c>
      <c r="E20" s="1">
        <v>45479</v>
      </c>
      <c r="F20" t="s">
        <v>13</v>
      </c>
      <c r="G20" t="s">
        <v>41</v>
      </c>
      <c r="H20">
        <v>26.47</v>
      </c>
      <c r="I20">
        <v>15.89</v>
      </c>
    </row>
    <row r="21" spans="1:9" x14ac:dyDescent="0.35">
      <c r="A21" t="s">
        <v>59</v>
      </c>
      <c r="B21" t="s">
        <v>60</v>
      </c>
      <c r="C21" t="s">
        <v>30</v>
      </c>
      <c r="D21" t="s">
        <v>31</v>
      </c>
      <c r="E21" s="1">
        <v>45609</v>
      </c>
      <c r="F21" t="s">
        <v>13</v>
      </c>
      <c r="G21" t="s">
        <v>23</v>
      </c>
      <c r="H21">
        <v>190.13</v>
      </c>
      <c r="I21">
        <v>124.6</v>
      </c>
    </row>
    <row r="22" spans="1:9" x14ac:dyDescent="0.35">
      <c r="A22" t="s">
        <v>61</v>
      </c>
      <c r="B22" t="s">
        <v>62</v>
      </c>
      <c r="C22" t="s">
        <v>11</v>
      </c>
      <c r="D22" t="s">
        <v>17</v>
      </c>
      <c r="E22" s="1">
        <v>45553</v>
      </c>
      <c r="F22" t="s">
        <v>18</v>
      </c>
      <c r="G22" t="s">
        <v>23</v>
      </c>
      <c r="H22">
        <v>148.41999999999999</v>
      </c>
      <c r="I22">
        <v>126.98</v>
      </c>
    </row>
    <row r="23" spans="1:9" x14ac:dyDescent="0.35">
      <c r="A23" t="s">
        <v>63</v>
      </c>
      <c r="B23" t="s">
        <v>64</v>
      </c>
      <c r="C23" t="s">
        <v>49</v>
      </c>
      <c r="D23" t="s">
        <v>12</v>
      </c>
      <c r="E23" s="1">
        <v>45446</v>
      </c>
      <c r="F23" t="s">
        <v>27</v>
      </c>
      <c r="G23" t="s">
        <v>19</v>
      </c>
      <c r="H23">
        <v>229.07</v>
      </c>
      <c r="I23">
        <v>159.26</v>
      </c>
    </row>
    <row r="24" spans="1:9" x14ac:dyDescent="0.35">
      <c r="A24" t="s">
        <v>65</v>
      </c>
      <c r="B24" t="s">
        <v>66</v>
      </c>
      <c r="C24" t="s">
        <v>49</v>
      </c>
      <c r="D24" t="s">
        <v>22</v>
      </c>
      <c r="E24" s="1">
        <v>45505</v>
      </c>
      <c r="F24" t="s">
        <v>27</v>
      </c>
      <c r="G24" t="s">
        <v>41</v>
      </c>
      <c r="H24">
        <v>213.98</v>
      </c>
      <c r="I24">
        <v>142.66</v>
      </c>
    </row>
    <row r="25" spans="1:9" x14ac:dyDescent="0.35">
      <c r="A25" t="s">
        <v>67</v>
      </c>
      <c r="B25" t="s">
        <v>68</v>
      </c>
      <c r="C25" t="s">
        <v>46</v>
      </c>
      <c r="D25" t="s">
        <v>17</v>
      </c>
      <c r="E25" s="1">
        <v>45336</v>
      </c>
      <c r="F25" t="s">
        <v>13</v>
      </c>
      <c r="G25" t="s">
        <v>41</v>
      </c>
      <c r="H25">
        <v>78.8</v>
      </c>
      <c r="I25">
        <v>68.959999999999994</v>
      </c>
    </row>
    <row r="26" spans="1:9" x14ac:dyDescent="0.35">
      <c r="A26" t="s">
        <v>69</v>
      </c>
      <c r="B26" t="s">
        <v>70</v>
      </c>
      <c r="C26" t="s">
        <v>11</v>
      </c>
      <c r="D26" t="s">
        <v>22</v>
      </c>
      <c r="E26" s="1">
        <v>45583</v>
      </c>
      <c r="F26" t="s">
        <v>18</v>
      </c>
      <c r="G26" t="s">
        <v>33</v>
      </c>
      <c r="H26">
        <v>391.2</v>
      </c>
      <c r="I26">
        <v>380.08</v>
      </c>
    </row>
    <row r="27" spans="1:9" x14ac:dyDescent="0.35">
      <c r="A27" t="s">
        <v>71</v>
      </c>
      <c r="B27" t="s">
        <v>64</v>
      </c>
      <c r="C27" t="s">
        <v>30</v>
      </c>
      <c r="D27" t="s">
        <v>26</v>
      </c>
      <c r="E27" s="1">
        <v>45446</v>
      </c>
      <c r="F27" t="s">
        <v>27</v>
      </c>
      <c r="G27" t="s">
        <v>41</v>
      </c>
      <c r="H27">
        <v>383.67</v>
      </c>
      <c r="I27">
        <v>314.93</v>
      </c>
    </row>
    <row r="28" spans="1:9" x14ac:dyDescent="0.35">
      <c r="A28" t="s">
        <v>72</v>
      </c>
      <c r="B28" t="s">
        <v>73</v>
      </c>
      <c r="C28" t="s">
        <v>11</v>
      </c>
      <c r="D28" t="s">
        <v>17</v>
      </c>
      <c r="E28" s="1">
        <v>45451</v>
      </c>
      <c r="F28" t="s">
        <v>13</v>
      </c>
      <c r="G28" t="s">
        <v>14</v>
      </c>
      <c r="H28">
        <v>387.66</v>
      </c>
      <c r="I28">
        <v>243.34</v>
      </c>
    </row>
    <row r="29" spans="1:9" x14ac:dyDescent="0.35">
      <c r="A29" t="s">
        <v>74</v>
      </c>
      <c r="B29" t="s">
        <v>75</v>
      </c>
      <c r="C29" t="s">
        <v>30</v>
      </c>
      <c r="D29" t="s">
        <v>31</v>
      </c>
      <c r="E29" s="1">
        <v>45577</v>
      </c>
      <c r="F29" t="s">
        <v>18</v>
      </c>
      <c r="G29" t="s">
        <v>33</v>
      </c>
      <c r="H29">
        <v>322.38</v>
      </c>
      <c r="I29">
        <v>266.07</v>
      </c>
    </row>
    <row r="30" spans="1:9" x14ac:dyDescent="0.35">
      <c r="A30" t="s">
        <v>76</v>
      </c>
      <c r="B30" t="s">
        <v>77</v>
      </c>
      <c r="C30" t="s">
        <v>49</v>
      </c>
      <c r="D30" t="s">
        <v>17</v>
      </c>
      <c r="E30" s="1">
        <v>45439</v>
      </c>
      <c r="F30" t="s">
        <v>27</v>
      </c>
      <c r="G30" t="s">
        <v>33</v>
      </c>
      <c r="H30">
        <v>365.25</v>
      </c>
      <c r="I30">
        <v>248.83</v>
      </c>
    </row>
    <row r="31" spans="1:9" x14ac:dyDescent="0.35">
      <c r="A31" t="s">
        <v>78</v>
      </c>
      <c r="B31" t="s">
        <v>79</v>
      </c>
      <c r="C31" t="s">
        <v>11</v>
      </c>
      <c r="D31" t="s">
        <v>12</v>
      </c>
      <c r="E31" s="1">
        <v>45436</v>
      </c>
      <c r="F31" t="s">
        <v>27</v>
      </c>
      <c r="G31" t="s">
        <v>23</v>
      </c>
      <c r="H31">
        <v>103.8</v>
      </c>
      <c r="I31">
        <v>95.73</v>
      </c>
    </row>
    <row r="32" spans="1:9" x14ac:dyDescent="0.35">
      <c r="A32" t="s">
        <v>80</v>
      </c>
      <c r="B32" t="s">
        <v>81</v>
      </c>
      <c r="C32" t="s">
        <v>30</v>
      </c>
      <c r="D32" t="s">
        <v>26</v>
      </c>
      <c r="E32" s="1">
        <v>45605</v>
      </c>
      <c r="F32" t="s">
        <v>13</v>
      </c>
      <c r="G32" t="s">
        <v>41</v>
      </c>
      <c r="H32">
        <v>310.22000000000003</v>
      </c>
      <c r="I32">
        <v>203.48</v>
      </c>
    </row>
    <row r="33" spans="1:9" x14ac:dyDescent="0.35">
      <c r="A33" t="s">
        <v>82</v>
      </c>
      <c r="B33" t="s">
        <v>83</v>
      </c>
      <c r="C33" t="s">
        <v>11</v>
      </c>
      <c r="D33" t="s">
        <v>12</v>
      </c>
      <c r="E33" s="1">
        <v>45543</v>
      </c>
      <c r="F33" t="s">
        <v>27</v>
      </c>
      <c r="G33" t="s">
        <v>19</v>
      </c>
      <c r="H33">
        <v>175.75</v>
      </c>
      <c r="I33">
        <v>108.99</v>
      </c>
    </row>
    <row r="34" spans="1:9" x14ac:dyDescent="0.35">
      <c r="A34" t="s">
        <v>84</v>
      </c>
      <c r="B34" t="s">
        <v>21</v>
      </c>
      <c r="C34" t="s">
        <v>11</v>
      </c>
      <c r="D34" t="s">
        <v>31</v>
      </c>
      <c r="E34" s="1">
        <v>45631</v>
      </c>
      <c r="F34" t="s">
        <v>18</v>
      </c>
      <c r="G34" t="s">
        <v>33</v>
      </c>
      <c r="H34">
        <v>371.18</v>
      </c>
      <c r="I34">
        <v>349.95</v>
      </c>
    </row>
    <row r="35" spans="1:9" x14ac:dyDescent="0.35">
      <c r="A35" t="s">
        <v>85</v>
      </c>
      <c r="B35" t="s">
        <v>86</v>
      </c>
      <c r="C35" t="s">
        <v>46</v>
      </c>
      <c r="D35" t="s">
        <v>22</v>
      </c>
      <c r="E35" s="1">
        <v>45313</v>
      </c>
      <c r="F35" t="s">
        <v>18</v>
      </c>
      <c r="G35" t="s">
        <v>23</v>
      </c>
      <c r="H35">
        <v>270.62</v>
      </c>
      <c r="I35">
        <v>238.16</v>
      </c>
    </row>
    <row r="36" spans="1:9" x14ac:dyDescent="0.35">
      <c r="A36" t="s">
        <v>87</v>
      </c>
      <c r="B36" t="s">
        <v>88</v>
      </c>
      <c r="C36" t="s">
        <v>49</v>
      </c>
      <c r="D36" t="s">
        <v>22</v>
      </c>
      <c r="E36" s="1">
        <v>45445</v>
      </c>
      <c r="F36" t="s">
        <v>27</v>
      </c>
      <c r="G36" t="s">
        <v>14</v>
      </c>
      <c r="H36">
        <v>234.34</v>
      </c>
      <c r="I36">
        <v>183.15</v>
      </c>
    </row>
    <row r="37" spans="1:9" x14ac:dyDescent="0.35">
      <c r="A37" t="s">
        <v>89</v>
      </c>
      <c r="B37" t="s">
        <v>54</v>
      </c>
      <c r="C37" t="s">
        <v>49</v>
      </c>
      <c r="D37" t="s">
        <v>31</v>
      </c>
      <c r="E37" s="1">
        <v>45502</v>
      </c>
      <c r="F37" t="s">
        <v>27</v>
      </c>
      <c r="G37" t="s">
        <v>19</v>
      </c>
      <c r="H37">
        <v>152.02000000000001</v>
      </c>
      <c r="I37">
        <v>109.91</v>
      </c>
    </row>
    <row r="38" spans="1:9" x14ac:dyDescent="0.35">
      <c r="A38" t="s">
        <v>90</v>
      </c>
      <c r="B38" t="s">
        <v>91</v>
      </c>
      <c r="C38" t="s">
        <v>30</v>
      </c>
      <c r="D38" t="s">
        <v>17</v>
      </c>
      <c r="E38" s="1">
        <v>45484</v>
      </c>
      <c r="F38" t="s">
        <v>18</v>
      </c>
      <c r="G38" t="s">
        <v>33</v>
      </c>
      <c r="H38">
        <v>113.12</v>
      </c>
      <c r="I38">
        <v>83.47</v>
      </c>
    </row>
    <row r="39" spans="1:9" x14ac:dyDescent="0.35">
      <c r="A39" t="s">
        <v>92</v>
      </c>
      <c r="B39" t="s">
        <v>93</v>
      </c>
      <c r="C39" t="s">
        <v>11</v>
      </c>
      <c r="D39" t="s">
        <v>17</v>
      </c>
      <c r="E39" s="1">
        <v>45375</v>
      </c>
      <c r="F39" t="s">
        <v>13</v>
      </c>
      <c r="G39" t="s">
        <v>33</v>
      </c>
      <c r="H39">
        <v>243.51</v>
      </c>
      <c r="I39">
        <v>148.69</v>
      </c>
    </row>
    <row r="40" spans="1:9" x14ac:dyDescent="0.35">
      <c r="A40" t="s">
        <v>94</v>
      </c>
      <c r="B40" t="s">
        <v>95</v>
      </c>
      <c r="C40" t="s">
        <v>30</v>
      </c>
      <c r="D40" t="s">
        <v>12</v>
      </c>
      <c r="E40" s="1">
        <v>45430</v>
      </c>
      <c r="F40" t="s">
        <v>27</v>
      </c>
      <c r="G40" t="s">
        <v>14</v>
      </c>
      <c r="H40">
        <v>304.56</v>
      </c>
      <c r="I40">
        <v>290.75</v>
      </c>
    </row>
    <row r="41" spans="1:9" x14ac:dyDescent="0.35">
      <c r="A41" t="s">
        <v>96</v>
      </c>
      <c r="B41" t="s">
        <v>60</v>
      </c>
      <c r="C41" t="s">
        <v>46</v>
      </c>
      <c r="D41" t="s">
        <v>12</v>
      </c>
      <c r="E41" s="1">
        <v>45402</v>
      </c>
      <c r="F41" t="s">
        <v>13</v>
      </c>
      <c r="G41" t="s">
        <v>23</v>
      </c>
      <c r="H41">
        <v>116.51</v>
      </c>
      <c r="I41">
        <v>70.510000000000005</v>
      </c>
    </row>
    <row r="42" spans="1:9" x14ac:dyDescent="0.35">
      <c r="A42" t="s">
        <v>97</v>
      </c>
      <c r="B42" t="s">
        <v>98</v>
      </c>
      <c r="C42" t="s">
        <v>30</v>
      </c>
      <c r="D42" t="s">
        <v>17</v>
      </c>
      <c r="E42" s="1">
        <v>45456</v>
      </c>
      <c r="F42" t="s">
        <v>27</v>
      </c>
      <c r="G42" t="s">
        <v>23</v>
      </c>
      <c r="H42">
        <v>322.99</v>
      </c>
      <c r="I42">
        <v>235.09</v>
      </c>
    </row>
    <row r="43" spans="1:9" x14ac:dyDescent="0.35">
      <c r="A43" t="s">
        <v>99</v>
      </c>
      <c r="B43" t="s">
        <v>100</v>
      </c>
      <c r="C43" t="s">
        <v>49</v>
      </c>
      <c r="D43" t="s">
        <v>17</v>
      </c>
      <c r="E43" s="1">
        <v>45637</v>
      </c>
      <c r="F43" t="s">
        <v>18</v>
      </c>
      <c r="G43" t="s">
        <v>14</v>
      </c>
      <c r="H43">
        <v>173.23</v>
      </c>
      <c r="I43">
        <v>131.79</v>
      </c>
    </row>
    <row r="44" spans="1:9" x14ac:dyDescent="0.35">
      <c r="A44" t="s">
        <v>101</v>
      </c>
      <c r="B44" t="s">
        <v>102</v>
      </c>
      <c r="C44" t="s">
        <v>30</v>
      </c>
      <c r="D44" t="s">
        <v>31</v>
      </c>
      <c r="E44" s="1">
        <v>45363</v>
      </c>
      <c r="F44" t="s">
        <v>27</v>
      </c>
      <c r="G44" t="s">
        <v>14</v>
      </c>
      <c r="H44">
        <v>311.95</v>
      </c>
      <c r="I44">
        <v>249.77</v>
      </c>
    </row>
    <row r="45" spans="1:9" x14ac:dyDescent="0.35">
      <c r="A45" t="s">
        <v>103</v>
      </c>
      <c r="B45" t="s">
        <v>104</v>
      </c>
      <c r="C45" t="s">
        <v>11</v>
      </c>
      <c r="D45" t="s">
        <v>12</v>
      </c>
      <c r="E45" s="1">
        <v>45541</v>
      </c>
      <c r="F45" t="s">
        <v>18</v>
      </c>
      <c r="G45" t="s">
        <v>19</v>
      </c>
      <c r="H45">
        <v>175.14</v>
      </c>
      <c r="I45">
        <v>140.63999999999999</v>
      </c>
    </row>
    <row r="46" spans="1:9" x14ac:dyDescent="0.35">
      <c r="A46" t="s">
        <v>105</v>
      </c>
      <c r="B46" t="s">
        <v>106</v>
      </c>
      <c r="C46" t="s">
        <v>46</v>
      </c>
      <c r="D46" t="s">
        <v>17</v>
      </c>
      <c r="E46" s="1">
        <v>45479</v>
      </c>
      <c r="F46" t="s">
        <v>27</v>
      </c>
      <c r="G46" t="s">
        <v>23</v>
      </c>
      <c r="H46">
        <v>188.04</v>
      </c>
      <c r="I46">
        <v>116.63</v>
      </c>
    </row>
    <row r="47" spans="1:9" x14ac:dyDescent="0.35">
      <c r="A47" t="s">
        <v>107</v>
      </c>
      <c r="B47" t="s">
        <v>108</v>
      </c>
      <c r="C47" t="s">
        <v>11</v>
      </c>
      <c r="D47" t="s">
        <v>17</v>
      </c>
      <c r="E47" s="1">
        <v>45331</v>
      </c>
      <c r="F47" t="s">
        <v>13</v>
      </c>
      <c r="G47" t="s">
        <v>19</v>
      </c>
      <c r="H47">
        <v>284.14</v>
      </c>
      <c r="I47">
        <v>242.84</v>
      </c>
    </row>
    <row r="48" spans="1:9" x14ac:dyDescent="0.35">
      <c r="A48" t="s">
        <v>109</v>
      </c>
      <c r="B48" t="s">
        <v>110</v>
      </c>
      <c r="C48" t="s">
        <v>46</v>
      </c>
      <c r="D48" t="s">
        <v>12</v>
      </c>
      <c r="E48" s="1">
        <v>45541</v>
      </c>
      <c r="F48" t="s">
        <v>18</v>
      </c>
      <c r="G48" t="s">
        <v>23</v>
      </c>
      <c r="H48">
        <v>370.78</v>
      </c>
      <c r="I48">
        <v>252.09</v>
      </c>
    </row>
    <row r="49" spans="1:9" x14ac:dyDescent="0.35">
      <c r="A49" t="s">
        <v>111</v>
      </c>
      <c r="B49" t="s">
        <v>112</v>
      </c>
      <c r="C49" t="s">
        <v>30</v>
      </c>
      <c r="D49" t="s">
        <v>12</v>
      </c>
      <c r="E49" s="1">
        <v>45421</v>
      </c>
      <c r="F49" t="s">
        <v>13</v>
      </c>
      <c r="G49" t="s">
        <v>33</v>
      </c>
      <c r="H49">
        <v>267.43</v>
      </c>
      <c r="I49">
        <v>260.39999999999998</v>
      </c>
    </row>
    <row r="50" spans="1:9" x14ac:dyDescent="0.35">
      <c r="A50" t="s">
        <v>113</v>
      </c>
      <c r="B50" t="s">
        <v>102</v>
      </c>
      <c r="C50" t="s">
        <v>49</v>
      </c>
      <c r="D50" t="s">
        <v>22</v>
      </c>
      <c r="E50" s="1">
        <v>45557</v>
      </c>
      <c r="F50" t="s">
        <v>27</v>
      </c>
      <c r="G50" t="s">
        <v>23</v>
      </c>
      <c r="H50">
        <v>231.14</v>
      </c>
      <c r="I50">
        <v>183</v>
      </c>
    </row>
    <row r="51" spans="1:9" x14ac:dyDescent="0.35">
      <c r="A51" t="s">
        <v>114</v>
      </c>
      <c r="B51" t="s">
        <v>43</v>
      </c>
      <c r="C51" t="s">
        <v>46</v>
      </c>
      <c r="D51" t="s">
        <v>26</v>
      </c>
      <c r="E51" s="1">
        <v>45501</v>
      </c>
      <c r="F51" t="s">
        <v>13</v>
      </c>
      <c r="G51" t="s">
        <v>14</v>
      </c>
      <c r="H51">
        <v>399.11</v>
      </c>
      <c r="I51">
        <v>353.94</v>
      </c>
    </row>
    <row r="52" spans="1:9" x14ac:dyDescent="0.35">
      <c r="A52" t="s">
        <v>115</v>
      </c>
      <c r="B52" t="s">
        <v>36</v>
      </c>
      <c r="C52" t="s">
        <v>49</v>
      </c>
      <c r="D52" t="s">
        <v>17</v>
      </c>
      <c r="E52" s="1">
        <v>45574</v>
      </c>
      <c r="F52" t="s">
        <v>18</v>
      </c>
      <c r="G52" t="s">
        <v>19</v>
      </c>
      <c r="H52">
        <v>15.74</v>
      </c>
      <c r="I52">
        <v>10.64</v>
      </c>
    </row>
    <row r="53" spans="1:9" x14ac:dyDescent="0.35">
      <c r="A53" t="s">
        <v>116</v>
      </c>
      <c r="B53" t="s">
        <v>117</v>
      </c>
      <c r="C53" t="s">
        <v>30</v>
      </c>
      <c r="D53" t="s">
        <v>12</v>
      </c>
      <c r="E53" s="1">
        <v>45592</v>
      </c>
      <c r="F53" t="s">
        <v>27</v>
      </c>
      <c r="G53" t="s">
        <v>23</v>
      </c>
      <c r="H53">
        <v>176.65</v>
      </c>
      <c r="I53">
        <v>153.25</v>
      </c>
    </row>
    <row r="54" spans="1:9" x14ac:dyDescent="0.35">
      <c r="A54" t="s">
        <v>118</v>
      </c>
      <c r="B54" t="s">
        <v>64</v>
      </c>
      <c r="C54" t="s">
        <v>46</v>
      </c>
      <c r="D54" t="s">
        <v>17</v>
      </c>
      <c r="E54" s="1">
        <v>45311</v>
      </c>
      <c r="F54" t="s">
        <v>27</v>
      </c>
      <c r="G54" t="s">
        <v>19</v>
      </c>
      <c r="H54">
        <v>309.27999999999997</v>
      </c>
      <c r="I54">
        <v>198.81</v>
      </c>
    </row>
    <row r="55" spans="1:9" x14ac:dyDescent="0.35">
      <c r="A55" t="s">
        <v>119</v>
      </c>
      <c r="B55" t="s">
        <v>120</v>
      </c>
      <c r="C55" t="s">
        <v>49</v>
      </c>
      <c r="D55" t="s">
        <v>12</v>
      </c>
      <c r="E55" s="1">
        <v>45345</v>
      </c>
      <c r="F55" t="s">
        <v>13</v>
      </c>
      <c r="G55" t="s">
        <v>23</v>
      </c>
      <c r="H55">
        <v>123.69</v>
      </c>
      <c r="I55">
        <v>76.53</v>
      </c>
    </row>
    <row r="56" spans="1:9" x14ac:dyDescent="0.35">
      <c r="A56" t="s">
        <v>121</v>
      </c>
      <c r="B56" t="s">
        <v>122</v>
      </c>
      <c r="C56" t="s">
        <v>30</v>
      </c>
      <c r="D56" t="s">
        <v>31</v>
      </c>
      <c r="E56" s="1">
        <v>45480</v>
      </c>
      <c r="F56" t="s">
        <v>18</v>
      </c>
      <c r="G56" t="s">
        <v>23</v>
      </c>
      <c r="H56">
        <v>368.51</v>
      </c>
      <c r="I56">
        <v>291.60000000000002</v>
      </c>
    </row>
    <row r="57" spans="1:9" x14ac:dyDescent="0.35">
      <c r="A57" t="s">
        <v>123</v>
      </c>
      <c r="B57" t="s">
        <v>124</v>
      </c>
      <c r="C57" t="s">
        <v>46</v>
      </c>
      <c r="D57" t="s">
        <v>26</v>
      </c>
      <c r="E57" s="1">
        <v>45313</v>
      </c>
      <c r="F57" t="s">
        <v>13</v>
      </c>
      <c r="G57" t="s">
        <v>41</v>
      </c>
      <c r="H57">
        <v>188.19</v>
      </c>
      <c r="I57">
        <v>165.73</v>
      </c>
    </row>
    <row r="58" spans="1:9" x14ac:dyDescent="0.35">
      <c r="A58" t="s">
        <v>125</v>
      </c>
      <c r="B58" t="s">
        <v>126</v>
      </c>
      <c r="C58" t="s">
        <v>49</v>
      </c>
      <c r="D58" t="s">
        <v>17</v>
      </c>
      <c r="E58" s="1">
        <v>45375</v>
      </c>
      <c r="F58" t="s">
        <v>13</v>
      </c>
      <c r="G58" t="s">
        <v>14</v>
      </c>
      <c r="H58">
        <v>237.95</v>
      </c>
      <c r="I58">
        <v>190.28</v>
      </c>
    </row>
    <row r="59" spans="1:9" x14ac:dyDescent="0.35">
      <c r="A59" t="s">
        <v>127</v>
      </c>
      <c r="B59" t="s">
        <v>10</v>
      </c>
      <c r="C59" t="s">
        <v>46</v>
      </c>
      <c r="D59" t="s">
        <v>12</v>
      </c>
      <c r="E59" s="1">
        <v>45538</v>
      </c>
      <c r="F59" t="s">
        <v>13</v>
      </c>
      <c r="G59" t="s">
        <v>14</v>
      </c>
      <c r="H59">
        <v>351.49</v>
      </c>
      <c r="I59">
        <v>343.89</v>
      </c>
    </row>
    <row r="60" spans="1:9" x14ac:dyDescent="0.35">
      <c r="A60" t="s">
        <v>128</v>
      </c>
      <c r="B60" t="s">
        <v>40</v>
      </c>
      <c r="C60" t="s">
        <v>30</v>
      </c>
      <c r="D60" t="s">
        <v>17</v>
      </c>
      <c r="E60" s="1">
        <v>45299</v>
      </c>
      <c r="F60" t="s">
        <v>27</v>
      </c>
      <c r="G60" t="s">
        <v>23</v>
      </c>
      <c r="H60">
        <v>335.79</v>
      </c>
      <c r="I60">
        <v>271.49</v>
      </c>
    </row>
    <row r="61" spans="1:9" x14ac:dyDescent="0.35">
      <c r="A61" t="s">
        <v>129</v>
      </c>
      <c r="B61" t="s">
        <v>70</v>
      </c>
      <c r="C61" t="s">
        <v>49</v>
      </c>
      <c r="D61" t="s">
        <v>22</v>
      </c>
      <c r="E61" s="1">
        <v>45458</v>
      </c>
      <c r="F61" t="s">
        <v>18</v>
      </c>
      <c r="G61" t="s">
        <v>33</v>
      </c>
      <c r="H61">
        <v>365.17</v>
      </c>
      <c r="I61">
        <v>252.57</v>
      </c>
    </row>
    <row r="62" spans="1:9" x14ac:dyDescent="0.35">
      <c r="A62" t="s">
        <v>130</v>
      </c>
      <c r="B62" t="s">
        <v>106</v>
      </c>
      <c r="C62" t="s">
        <v>30</v>
      </c>
      <c r="D62" t="s">
        <v>31</v>
      </c>
      <c r="E62" s="1">
        <v>45331</v>
      </c>
      <c r="F62" t="s">
        <v>27</v>
      </c>
      <c r="G62" t="s">
        <v>23</v>
      </c>
      <c r="H62">
        <v>263.97000000000003</v>
      </c>
      <c r="I62">
        <v>226.75</v>
      </c>
    </row>
    <row r="63" spans="1:9" x14ac:dyDescent="0.35">
      <c r="A63" t="s">
        <v>131</v>
      </c>
      <c r="B63" t="s">
        <v>132</v>
      </c>
      <c r="C63" t="s">
        <v>11</v>
      </c>
      <c r="D63" t="s">
        <v>17</v>
      </c>
      <c r="E63" s="1">
        <v>45400</v>
      </c>
      <c r="F63" t="s">
        <v>13</v>
      </c>
      <c r="G63" t="s">
        <v>14</v>
      </c>
      <c r="H63">
        <v>167.33</v>
      </c>
      <c r="I63">
        <v>101.89</v>
      </c>
    </row>
    <row r="64" spans="1:9" x14ac:dyDescent="0.35">
      <c r="A64" t="s">
        <v>133</v>
      </c>
      <c r="B64" t="s">
        <v>134</v>
      </c>
      <c r="C64" t="s">
        <v>46</v>
      </c>
      <c r="D64" t="s">
        <v>17</v>
      </c>
      <c r="E64" s="1">
        <v>45334</v>
      </c>
      <c r="F64" t="s">
        <v>27</v>
      </c>
      <c r="G64" t="s">
        <v>33</v>
      </c>
      <c r="H64">
        <v>346.06</v>
      </c>
      <c r="I64">
        <v>233.09</v>
      </c>
    </row>
    <row r="65" spans="1:9" x14ac:dyDescent="0.35">
      <c r="A65" t="s">
        <v>135</v>
      </c>
      <c r="B65" t="s">
        <v>136</v>
      </c>
      <c r="C65" t="s">
        <v>30</v>
      </c>
      <c r="D65" t="s">
        <v>26</v>
      </c>
      <c r="E65" s="1">
        <v>45500</v>
      </c>
      <c r="F65" t="s">
        <v>27</v>
      </c>
      <c r="G65" t="s">
        <v>33</v>
      </c>
      <c r="H65">
        <v>114.77</v>
      </c>
      <c r="I65">
        <v>88.94</v>
      </c>
    </row>
    <row r="66" spans="1:9" x14ac:dyDescent="0.35">
      <c r="A66" t="s">
        <v>137</v>
      </c>
      <c r="B66" t="s">
        <v>138</v>
      </c>
      <c r="C66" t="s">
        <v>11</v>
      </c>
      <c r="D66" t="s">
        <v>31</v>
      </c>
      <c r="E66" s="1">
        <v>45537</v>
      </c>
      <c r="F66" t="s">
        <v>18</v>
      </c>
      <c r="G66" t="s">
        <v>19</v>
      </c>
      <c r="H66">
        <v>15.77</v>
      </c>
      <c r="I66">
        <v>15.15</v>
      </c>
    </row>
    <row r="67" spans="1:9" x14ac:dyDescent="0.35">
      <c r="A67" t="s">
        <v>139</v>
      </c>
      <c r="B67" t="s">
        <v>40</v>
      </c>
      <c r="C67" t="s">
        <v>11</v>
      </c>
      <c r="D67" t="s">
        <v>22</v>
      </c>
      <c r="E67" s="1">
        <v>45556</v>
      </c>
      <c r="F67" t="s">
        <v>27</v>
      </c>
      <c r="G67" t="s">
        <v>23</v>
      </c>
      <c r="H67">
        <v>108.79</v>
      </c>
      <c r="I67">
        <v>107.57</v>
      </c>
    </row>
    <row r="68" spans="1:9" x14ac:dyDescent="0.35">
      <c r="A68" t="s">
        <v>140</v>
      </c>
      <c r="B68" t="s">
        <v>60</v>
      </c>
      <c r="C68" t="s">
        <v>49</v>
      </c>
      <c r="D68" t="s">
        <v>22</v>
      </c>
      <c r="E68" s="1">
        <v>45385</v>
      </c>
      <c r="F68" t="s">
        <v>13</v>
      </c>
      <c r="G68" t="s">
        <v>23</v>
      </c>
      <c r="H68">
        <v>282.88</v>
      </c>
      <c r="I68">
        <v>272.93</v>
      </c>
    </row>
    <row r="69" spans="1:9" x14ac:dyDescent="0.35">
      <c r="A69" t="s">
        <v>141</v>
      </c>
      <c r="B69" t="s">
        <v>64</v>
      </c>
      <c r="C69" t="s">
        <v>11</v>
      </c>
      <c r="D69" t="s">
        <v>26</v>
      </c>
      <c r="E69" s="1">
        <v>45508</v>
      </c>
      <c r="F69" t="s">
        <v>27</v>
      </c>
      <c r="G69" t="s">
        <v>19</v>
      </c>
      <c r="H69">
        <v>137.93</v>
      </c>
      <c r="I69">
        <v>121.22</v>
      </c>
    </row>
    <row r="70" spans="1:9" x14ac:dyDescent="0.35">
      <c r="A70" t="s">
        <v>142</v>
      </c>
      <c r="B70" t="s">
        <v>83</v>
      </c>
      <c r="C70" t="s">
        <v>46</v>
      </c>
      <c r="D70" t="s">
        <v>12</v>
      </c>
      <c r="E70" s="1">
        <v>45326</v>
      </c>
      <c r="F70" t="s">
        <v>27</v>
      </c>
      <c r="G70" t="s">
        <v>19</v>
      </c>
      <c r="H70">
        <v>159.19999999999999</v>
      </c>
      <c r="I70">
        <v>105.51</v>
      </c>
    </row>
    <row r="71" spans="1:9" x14ac:dyDescent="0.35">
      <c r="A71" t="s">
        <v>143</v>
      </c>
      <c r="B71" t="s">
        <v>144</v>
      </c>
      <c r="C71" t="s">
        <v>30</v>
      </c>
      <c r="D71" t="s">
        <v>22</v>
      </c>
      <c r="E71" s="1">
        <v>45557</v>
      </c>
      <c r="F71" t="s">
        <v>18</v>
      </c>
      <c r="G71" t="s">
        <v>19</v>
      </c>
      <c r="H71">
        <v>308.10000000000002</v>
      </c>
      <c r="I71">
        <v>230.13</v>
      </c>
    </row>
    <row r="72" spans="1:9" x14ac:dyDescent="0.35">
      <c r="A72" t="s">
        <v>145</v>
      </c>
      <c r="B72" t="s">
        <v>146</v>
      </c>
      <c r="C72" t="s">
        <v>46</v>
      </c>
      <c r="D72" t="s">
        <v>22</v>
      </c>
      <c r="E72" s="1">
        <v>45328</v>
      </c>
      <c r="F72" t="s">
        <v>13</v>
      </c>
      <c r="G72" t="s">
        <v>33</v>
      </c>
      <c r="H72">
        <v>178.5</v>
      </c>
      <c r="I72">
        <v>154.21</v>
      </c>
    </row>
    <row r="73" spans="1:9" x14ac:dyDescent="0.35">
      <c r="A73" t="s">
        <v>147</v>
      </c>
      <c r="B73" t="s">
        <v>148</v>
      </c>
      <c r="C73" t="s">
        <v>30</v>
      </c>
      <c r="D73" t="s">
        <v>22</v>
      </c>
      <c r="E73" s="1">
        <v>45542</v>
      </c>
      <c r="F73" t="s">
        <v>27</v>
      </c>
      <c r="G73" t="s">
        <v>41</v>
      </c>
      <c r="H73">
        <v>383.08</v>
      </c>
      <c r="I73">
        <v>352.48</v>
      </c>
    </row>
    <row r="74" spans="1:9" x14ac:dyDescent="0.35">
      <c r="A74" t="s">
        <v>149</v>
      </c>
      <c r="B74" t="s">
        <v>144</v>
      </c>
      <c r="C74" t="s">
        <v>11</v>
      </c>
      <c r="D74" t="s">
        <v>31</v>
      </c>
      <c r="E74" s="1">
        <v>45364</v>
      </c>
      <c r="F74" t="s">
        <v>18</v>
      </c>
      <c r="G74" t="s">
        <v>19</v>
      </c>
      <c r="H74">
        <v>238.16</v>
      </c>
      <c r="I74">
        <v>193.99</v>
      </c>
    </row>
    <row r="75" spans="1:9" x14ac:dyDescent="0.35">
      <c r="A75" t="s">
        <v>150</v>
      </c>
      <c r="B75" t="s">
        <v>75</v>
      </c>
      <c r="C75" t="s">
        <v>30</v>
      </c>
      <c r="D75" t="s">
        <v>22</v>
      </c>
      <c r="E75" s="1">
        <v>45552</v>
      </c>
      <c r="F75" t="s">
        <v>18</v>
      </c>
      <c r="G75" t="s">
        <v>33</v>
      </c>
      <c r="H75">
        <v>260.67</v>
      </c>
      <c r="I75">
        <v>175.76</v>
      </c>
    </row>
    <row r="76" spans="1:9" x14ac:dyDescent="0.35">
      <c r="A76" t="s">
        <v>151</v>
      </c>
      <c r="B76" t="s">
        <v>152</v>
      </c>
      <c r="C76" t="s">
        <v>30</v>
      </c>
      <c r="D76" t="s">
        <v>31</v>
      </c>
      <c r="E76" s="1">
        <v>45458</v>
      </c>
      <c r="F76" t="s">
        <v>27</v>
      </c>
      <c r="G76" t="s">
        <v>14</v>
      </c>
      <c r="H76">
        <v>234.33</v>
      </c>
      <c r="I76">
        <v>161.41999999999999</v>
      </c>
    </row>
    <row r="77" spans="1:9" x14ac:dyDescent="0.35">
      <c r="A77" t="s">
        <v>153</v>
      </c>
      <c r="B77" t="s">
        <v>93</v>
      </c>
      <c r="C77" t="s">
        <v>11</v>
      </c>
      <c r="D77" t="s">
        <v>26</v>
      </c>
      <c r="E77" s="1">
        <v>45582</v>
      </c>
      <c r="F77" t="s">
        <v>13</v>
      </c>
      <c r="G77" t="s">
        <v>33</v>
      </c>
      <c r="H77">
        <v>234.33</v>
      </c>
      <c r="I77">
        <v>153.28</v>
      </c>
    </row>
    <row r="78" spans="1:9" x14ac:dyDescent="0.35">
      <c r="A78" t="s">
        <v>154</v>
      </c>
      <c r="B78" t="s">
        <v>155</v>
      </c>
      <c r="C78" t="s">
        <v>46</v>
      </c>
      <c r="D78" t="s">
        <v>22</v>
      </c>
      <c r="E78" s="1">
        <v>45315</v>
      </c>
      <c r="F78" t="s">
        <v>27</v>
      </c>
      <c r="G78" t="s">
        <v>33</v>
      </c>
      <c r="H78">
        <v>346.06</v>
      </c>
      <c r="I78">
        <v>208.57</v>
      </c>
    </row>
    <row r="79" spans="1:9" x14ac:dyDescent="0.35">
      <c r="A79" t="s">
        <v>156</v>
      </c>
      <c r="B79" t="s">
        <v>157</v>
      </c>
      <c r="C79" t="s">
        <v>49</v>
      </c>
      <c r="D79" t="s">
        <v>31</v>
      </c>
      <c r="E79" s="1">
        <v>45544</v>
      </c>
      <c r="F79" t="s">
        <v>18</v>
      </c>
      <c r="G79" t="s">
        <v>23</v>
      </c>
      <c r="H79">
        <v>148.41999999999999</v>
      </c>
      <c r="I79">
        <v>93.47</v>
      </c>
    </row>
    <row r="80" spans="1:9" x14ac:dyDescent="0.35">
      <c r="A80" t="s">
        <v>158</v>
      </c>
      <c r="B80" t="s">
        <v>75</v>
      </c>
      <c r="C80" t="s">
        <v>11</v>
      </c>
      <c r="D80" t="s">
        <v>17</v>
      </c>
      <c r="E80" s="1">
        <v>45507</v>
      </c>
      <c r="F80" t="s">
        <v>27</v>
      </c>
      <c r="G80" t="s">
        <v>41</v>
      </c>
      <c r="H80">
        <v>24.79</v>
      </c>
      <c r="I80">
        <v>16.57</v>
      </c>
    </row>
    <row r="81" spans="1:9" x14ac:dyDescent="0.35">
      <c r="A81" t="s">
        <v>159</v>
      </c>
      <c r="B81" t="s">
        <v>160</v>
      </c>
      <c r="C81" t="s">
        <v>30</v>
      </c>
      <c r="D81" t="s">
        <v>12</v>
      </c>
      <c r="E81" s="1">
        <v>45537</v>
      </c>
      <c r="F81" t="s">
        <v>18</v>
      </c>
      <c r="G81" t="s">
        <v>14</v>
      </c>
      <c r="H81">
        <v>365.25</v>
      </c>
      <c r="I81">
        <v>301.99</v>
      </c>
    </row>
    <row r="82" spans="1:9" x14ac:dyDescent="0.35">
      <c r="A82" t="s">
        <v>161</v>
      </c>
      <c r="B82" t="s">
        <v>162</v>
      </c>
      <c r="C82" t="s">
        <v>49</v>
      </c>
      <c r="D82" t="s">
        <v>17</v>
      </c>
      <c r="E82" s="1">
        <v>45423</v>
      </c>
      <c r="F82" t="s">
        <v>27</v>
      </c>
      <c r="G82" t="s">
        <v>19</v>
      </c>
      <c r="H82">
        <v>103.8</v>
      </c>
      <c r="I82">
        <v>63.02</v>
      </c>
    </row>
    <row r="83" spans="1:9" x14ac:dyDescent="0.35">
      <c r="A83" t="s">
        <v>163</v>
      </c>
      <c r="B83" t="s">
        <v>164</v>
      </c>
      <c r="C83" t="s">
        <v>49</v>
      </c>
      <c r="D83" t="s">
        <v>12</v>
      </c>
      <c r="E83" s="1">
        <v>45373</v>
      </c>
      <c r="F83" t="s">
        <v>13</v>
      </c>
      <c r="G83" t="s">
        <v>23</v>
      </c>
      <c r="H83">
        <v>113.12</v>
      </c>
      <c r="I83">
        <v>110.66</v>
      </c>
    </row>
    <row r="84" spans="1:9" x14ac:dyDescent="0.35">
      <c r="A84" t="s">
        <v>165</v>
      </c>
      <c r="B84" t="s">
        <v>104</v>
      </c>
      <c r="C84" t="s">
        <v>46</v>
      </c>
      <c r="D84" t="s">
        <v>17</v>
      </c>
      <c r="E84" s="1">
        <v>45313</v>
      </c>
      <c r="F84" t="s">
        <v>18</v>
      </c>
      <c r="G84" t="s">
        <v>19</v>
      </c>
      <c r="H84">
        <v>201.2</v>
      </c>
      <c r="I84">
        <v>186.29</v>
      </c>
    </row>
    <row r="85" spans="1:9" x14ac:dyDescent="0.35">
      <c r="A85" t="s">
        <v>166</v>
      </c>
      <c r="B85" t="s">
        <v>66</v>
      </c>
      <c r="C85" t="s">
        <v>11</v>
      </c>
      <c r="D85" t="s">
        <v>12</v>
      </c>
      <c r="E85" s="1">
        <v>45364</v>
      </c>
      <c r="F85" t="s">
        <v>27</v>
      </c>
      <c r="G85" t="s">
        <v>41</v>
      </c>
      <c r="H85">
        <v>391.2</v>
      </c>
      <c r="I85">
        <v>297.02</v>
      </c>
    </row>
    <row r="86" spans="1:9" x14ac:dyDescent="0.35">
      <c r="A86" t="s">
        <v>167</v>
      </c>
      <c r="B86" t="s">
        <v>157</v>
      </c>
      <c r="C86" t="s">
        <v>46</v>
      </c>
      <c r="D86" t="s">
        <v>26</v>
      </c>
      <c r="E86" s="1">
        <v>45513</v>
      </c>
      <c r="F86" t="s">
        <v>18</v>
      </c>
      <c r="G86" t="s">
        <v>23</v>
      </c>
      <c r="H86">
        <v>108.79</v>
      </c>
      <c r="I86">
        <v>93.3</v>
      </c>
    </row>
    <row r="87" spans="1:9" x14ac:dyDescent="0.35">
      <c r="A87" t="s">
        <v>168</v>
      </c>
      <c r="B87" t="s">
        <v>86</v>
      </c>
      <c r="C87" t="s">
        <v>30</v>
      </c>
      <c r="D87" t="s">
        <v>17</v>
      </c>
      <c r="E87" s="1">
        <v>45336</v>
      </c>
      <c r="F87" t="s">
        <v>18</v>
      </c>
      <c r="G87" t="s">
        <v>23</v>
      </c>
      <c r="H87">
        <v>308.10000000000002</v>
      </c>
      <c r="I87">
        <v>210.87</v>
      </c>
    </row>
    <row r="88" spans="1:9" x14ac:dyDescent="0.35">
      <c r="A88" t="s">
        <v>169</v>
      </c>
      <c r="B88" t="s">
        <v>95</v>
      </c>
      <c r="C88" t="s">
        <v>49</v>
      </c>
      <c r="D88" t="s">
        <v>12</v>
      </c>
      <c r="E88" s="1">
        <v>45507</v>
      </c>
      <c r="F88" t="s">
        <v>27</v>
      </c>
      <c r="G88" t="s">
        <v>14</v>
      </c>
      <c r="H88">
        <v>304.56</v>
      </c>
      <c r="I88">
        <v>227.18</v>
      </c>
    </row>
    <row r="89" spans="1:9" x14ac:dyDescent="0.35">
      <c r="A89" t="s">
        <v>170</v>
      </c>
      <c r="B89" t="s">
        <v>171</v>
      </c>
      <c r="C89" t="s">
        <v>11</v>
      </c>
      <c r="D89" t="s">
        <v>12</v>
      </c>
      <c r="E89" s="1">
        <v>45501</v>
      </c>
      <c r="F89" t="s">
        <v>13</v>
      </c>
      <c r="G89" t="s">
        <v>33</v>
      </c>
      <c r="H89">
        <v>152.02000000000001</v>
      </c>
      <c r="I89">
        <v>126.79</v>
      </c>
    </row>
    <row r="90" spans="1:9" x14ac:dyDescent="0.35">
      <c r="A90" t="s">
        <v>172</v>
      </c>
      <c r="B90" t="s">
        <v>68</v>
      </c>
      <c r="C90" t="s">
        <v>30</v>
      </c>
      <c r="D90" t="s">
        <v>17</v>
      </c>
      <c r="E90" s="1">
        <v>45430</v>
      </c>
      <c r="F90" t="s">
        <v>13</v>
      </c>
      <c r="G90" t="s">
        <v>41</v>
      </c>
      <c r="H90">
        <v>175.75</v>
      </c>
      <c r="I90">
        <v>175.46</v>
      </c>
    </row>
    <row r="91" spans="1:9" x14ac:dyDescent="0.35">
      <c r="A91" t="s">
        <v>173</v>
      </c>
      <c r="B91" t="s">
        <v>81</v>
      </c>
      <c r="C91" t="s">
        <v>11</v>
      </c>
      <c r="D91" t="s">
        <v>17</v>
      </c>
      <c r="E91" s="1">
        <v>45304</v>
      </c>
      <c r="F91" t="s">
        <v>13</v>
      </c>
      <c r="G91" t="s">
        <v>41</v>
      </c>
      <c r="H91">
        <v>238.16</v>
      </c>
      <c r="I91">
        <v>163.65</v>
      </c>
    </row>
    <row r="92" spans="1:9" x14ac:dyDescent="0.35">
      <c r="A92" t="s">
        <v>174</v>
      </c>
      <c r="B92" t="s">
        <v>120</v>
      </c>
      <c r="C92" t="s">
        <v>30</v>
      </c>
      <c r="D92" t="s">
        <v>12</v>
      </c>
      <c r="E92" s="1">
        <v>45400</v>
      </c>
      <c r="F92" t="s">
        <v>13</v>
      </c>
      <c r="G92" t="s">
        <v>23</v>
      </c>
      <c r="H92">
        <v>322.38</v>
      </c>
      <c r="I92">
        <v>245.92</v>
      </c>
    </row>
    <row r="93" spans="1:9" x14ac:dyDescent="0.35">
      <c r="A93" t="s">
        <v>175</v>
      </c>
      <c r="B93" t="s">
        <v>162</v>
      </c>
      <c r="C93" t="s">
        <v>46</v>
      </c>
      <c r="D93" t="s">
        <v>26</v>
      </c>
      <c r="E93" s="1">
        <v>45502</v>
      </c>
      <c r="F93" t="s">
        <v>27</v>
      </c>
      <c r="G93" t="s">
        <v>19</v>
      </c>
      <c r="H93">
        <v>190.13</v>
      </c>
      <c r="I93">
        <v>184.22</v>
      </c>
    </row>
    <row r="94" spans="1:9" x14ac:dyDescent="0.35">
      <c r="A94" t="s">
        <v>176</v>
      </c>
      <c r="B94" t="s">
        <v>64</v>
      </c>
      <c r="C94" t="s">
        <v>11</v>
      </c>
      <c r="D94" t="s">
        <v>12</v>
      </c>
      <c r="E94" s="1">
        <v>45468</v>
      </c>
      <c r="F94" t="s">
        <v>27</v>
      </c>
      <c r="G94" t="s">
        <v>19</v>
      </c>
      <c r="H94">
        <v>235.21</v>
      </c>
      <c r="I94">
        <v>171.18</v>
      </c>
    </row>
    <row r="95" spans="1:9" x14ac:dyDescent="0.35">
      <c r="A95" t="s">
        <v>177</v>
      </c>
      <c r="B95" t="s">
        <v>77</v>
      </c>
      <c r="C95" t="s">
        <v>46</v>
      </c>
      <c r="D95" t="s">
        <v>22</v>
      </c>
      <c r="E95" s="1">
        <v>45385</v>
      </c>
      <c r="F95" t="s">
        <v>27</v>
      </c>
      <c r="G95" t="s">
        <v>33</v>
      </c>
      <c r="H95">
        <v>329.83</v>
      </c>
      <c r="I95">
        <v>234.34</v>
      </c>
    </row>
    <row r="96" spans="1:9" x14ac:dyDescent="0.35">
      <c r="A96" t="s">
        <v>178</v>
      </c>
      <c r="B96" t="s">
        <v>62</v>
      </c>
      <c r="C96" t="s">
        <v>30</v>
      </c>
      <c r="D96" t="s">
        <v>26</v>
      </c>
      <c r="E96" s="1">
        <v>45605</v>
      </c>
      <c r="F96" t="s">
        <v>18</v>
      </c>
      <c r="G96" t="s">
        <v>23</v>
      </c>
      <c r="H96">
        <v>370.78</v>
      </c>
      <c r="I96">
        <v>247.97</v>
      </c>
    </row>
    <row r="97" spans="1:9" x14ac:dyDescent="0.35">
      <c r="A97" t="s">
        <v>179</v>
      </c>
      <c r="B97" t="s">
        <v>180</v>
      </c>
      <c r="C97" t="s">
        <v>46</v>
      </c>
      <c r="D97" t="s">
        <v>22</v>
      </c>
      <c r="E97" s="1">
        <v>45531</v>
      </c>
      <c r="F97" t="s">
        <v>18</v>
      </c>
      <c r="G97" t="s">
        <v>19</v>
      </c>
      <c r="H97">
        <v>205.11</v>
      </c>
      <c r="I97">
        <v>151.72</v>
      </c>
    </row>
    <row r="98" spans="1:9" x14ac:dyDescent="0.35">
      <c r="A98" t="s">
        <v>181</v>
      </c>
      <c r="B98" t="s">
        <v>136</v>
      </c>
      <c r="C98" t="s">
        <v>49</v>
      </c>
      <c r="D98" t="s">
        <v>31</v>
      </c>
      <c r="E98" s="1">
        <v>45630</v>
      </c>
      <c r="F98" t="s">
        <v>27</v>
      </c>
      <c r="G98" t="s">
        <v>33</v>
      </c>
      <c r="H98">
        <v>216.25</v>
      </c>
      <c r="I98">
        <v>192.55</v>
      </c>
    </row>
    <row r="99" spans="1:9" x14ac:dyDescent="0.35">
      <c r="A99" t="s">
        <v>182</v>
      </c>
      <c r="B99" t="s">
        <v>112</v>
      </c>
      <c r="C99" t="s">
        <v>30</v>
      </c>
      <c r="D99" t="s">
        <v>26</v>
      </c>
      <c r="E99" s="1">
        <v>45484</v>
      </c>
      <c r="F99" t="s">
        <v>13</v>
      </c>
      <c r="G99" t="s">
        <v>33</v>
      </c>
      <c r="H99">
        <v>179.6</v>
      </c>
      <c r="I99">
        <v>172.21</v>
      </c>
    </row>
    <row r="100" spans="1:9" x14ac:dyDescent="0.35">
      <c r="A100" t="s">
        <v>183</v>
      </c>
      <c r="B100" t="s">
        <v>122</v>
      </c>
      <c r="C100" t="s">
        <v>46</v>
      </c>
      <c r="D100" t="s">
        <v>22</v>
      </c>
      <c r="E100" s="1">
        <v>45336</v>
      </c>
      <c r="F100" t="s">
        <v>18</v>
      </c>
      <c r="G100" t="s">
        <v>23</v>
      </c>
      <c r="H100">
        <v>24.79</v>
      </c>
      <c r="I100">
        <v>23.67</v>
      </c>
    </row>
    <row r="101" spans="1:9" x14ac:dyDescent="0.35">
      <c r="A101" t="s">
        <v>184</v>
      </c>
      <c r="B101" t="s">
        <v>185</v>
      </c>
      <c r="C101" t="s">
        <v>30</v>
      </c>
      <c r="D101" t="s">
        <v>12</v>
      </c>
      <c r="E101" s="1">
        <v>45542</v>
      </c>
      <c r="F101" t="s">
        <v>27</v>
      </c>
      <c r="G101" t="s">
        <v>23</v>
      </c>
      <c r="H101">
        <v>56.54</v>
      </c>
      <c r="I101">
        <v>51.56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83B8B-45EC-42F0-BDE1-909B0D163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Rathi</dc:creator>
  <cp:lastModifiedBy>Hitesh Rathi</cp:lastModifiedBy>
  <dcterms:created xsi:type="dcterms:W3CDTF">2026-07-04T04:10:37Z</dcterms:created>
  <dcterms:modified xsi:type="dcterms:W3CDTF">2026-07-04T04:34:39Z</dcterms:modified>
</cp:coreProperties>
</file>